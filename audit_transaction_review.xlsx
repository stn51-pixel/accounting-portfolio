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41286a1afd45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action Testing" sheetId="1" r:id="R71f811f458554232"/>
    <x:sheet xmlns:r="http://schemas.openxmlformats.org/officeDocument/2006/relationships" name="Review Summary" sheetId="2" r:id="R301ff9b7efc544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"/>
    <x:numFmt numFmtId="201" formatCode="mmm d, yyyy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2B4D"/>
      </x:patternFill>
    </x:fill>
    <x:fill>
      <x:patternFill patternType="solid">
        <x:fgColor rgb="FFE8F0FA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6c1373a2904888" /><Relationship Type="http://schemas.openxmlformats.org/officeDocument/2006/relationships/theme" Target="/xl/theme/theme1.xml" Id="Ra1bf1ac2e09f4d0a" /><Relationship Type="http://schemas.openxmlformats.org/officeDocument/2006/relationships/sharedStrings" Target="/xl/sharedStrings.xml" Id="Rc4822b4a7f3a4e3c" /><Relationship Type="http://schemas.openxmlformats.org/officeDocument/2006/relationships/worksheet" Target="/xl/worksheets/sheet1.xml" Id="R71f811f458554232" /><Relationship Type="http://schemas.openxmlformats.org/officeDocument/2006/relationships/worksheet" Target="/xl/worksheets/sheet2.xml" Id="R301ff9b7efc5443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43" hidden="0" customWidth="1"/>
  </x:cols>
  <x:sheetData>
    <x:row r="1" ht="22" customHeight="1">
      <x:c r="A1" s="3" t="str">
        <x:v>AUDIT TRANSACTION REVIEW | NORTHSTAR CO.</x:v>
      </x:c>
      <x:c r="B1" s="3"/>
      <x:c r="C1" s="3"/>
      <x:c r="D1" s="3"/>
      <x:c r="E1" s="3"/>
      <x:c r="F1" s="3"/>
      <x:c r="G1" s="3"/>
    </x:row>
    <x:row r="2" ht="22" customHeight="1">
      <x:c r="A2" s="6" t="str">
        <x:v>Independent practice project • synthetic accounts payable transactions</x:v>
      </x:c>
      <x:c r="B2" s="6"/>
      <x:c r="C2" s="6"/>
      <x:c r="D2" s="6"/>
      <x:c r="E2" s="6"/>
      <x:c r="F2" s="6"/>
      <x:c r="G2" s="6"/>
    </x:row>
    <x:row r="3" ht="22" customHeight="1"/>
    <x:row r="4" ht="25" customHeight="1">
      <x:c r="A4" s="8" t="str">
        <x:v>Invoice ID</x:v>
      </x:c>
      <x:c r="B4" s="8" t="str">
        <x:v>Vendor</x:v>
      </x:c>
      <x:c r="C4" s="8" t="str">
        <x:v>Amount ($)</x:v>
      </x:c>
      <x:c r="D4" s="8" t="str">
        <x:v>Approval</x:v>
      </x:c>
      <x:c r="E4" s="8" t="str">
        <x:v>Payment date</x:v>
      </x:c>
      <x:c r="F4" s="8" t="str">
        <x:v>Review flag</x:v>
      </x:c>
      <x:c r="G4" s="8" t="str">
        <x:v>Audit note</x:v>
      </x:c>
    </x:row>
    <x:row r="5" ht="22" customHeight="1">
      <x:c r="A5" t="str">
        <x:v>INV-1001</x:v>
      </x:c>
      <x:c r="B5" t="str">
        <x:v>Atlas Supply</x:v>
      </x:c>
      <x:c r="C5" s="10" t="n">
        <x:v>1250</x:v>
      </x:c>
      <x:c r="D5" t="str">
        <x:v>Approved</x:v>
      </x:c>
      <x:c r="E5" s="12" t="n">
        <x:v>46267</x:v>
      </x:c>
      <x:c r="F5" t="str">
        <x:f>IF(COUNTIF($A$5:$A$16,A5)&gt;1,"Duplicate ID",IF(C5&gt;10000,"High value",IF(D5&lt;&gt;"Approved","Approval issue","Clear")))</x:f>
        <x:v>Clear</x:v>
      </x:c>
      <x:c r="G5" t="str">
        <x:f>IF(F5="Duplicate ID","Check invoice and payment support",IF(F5="High value","Inspect authorization and invoice",IF(F5="Approval issue","Obtain evidence of approval","No exception under selected tests")))</x:f>
        <x:v>No exception under selected tests</x:v>
      </x:c>
    </x:row>
    <x:row r="6" ht="22" customHeight="1">
      <x:c r="A6" t="str">
        <x:v>INV-1002</x:v>
      </x:c>
      <x:c r="B6" t="str">
        <x:v>Metro Tech</x:v>
      </x:c>
      <x:c r="C6" s="10" t="n">
        <x:v>4820</x:v>
      </x:c>
      <x:c r="D6" t="str">
        <x:v>Approved</x:v>
      </x:c>
      <x:c r="E6" s="12" t="n">
        <x:v>46268</x:v>
      </x:c>
      <x:c r="F6" t="str">
        <x:f>IF(COUNTIF($A$5:$A$16,A6)&gt;1,"Duplicate ID",IF(C6&gt;10000,"High value",IF(D6&lt;&gt;"Approved","Approval issue","Clear")))</x:f>
        <x:v>Duplicate ID</x:v>
      </x:c>
      <x:c r="G6" t="str">
        <x:f>IF(F6="Duplicate ID","Check invoice and payment support",IF(F6="High value","Inspect authorization and invoice",IF(F6="Approval issue","Obtain evidence of approval","No exception under selected tests")))</x:f>
        <x:v>Check invoice and payment support</x:v>
      </x:c>
    </x:row>
    <x:row r="7" ht="22" customHeight="1">
      <x:c r="A7" t="str">
        <x:v>INV-1003</x:v>
      </x:c>
      <x:c r="B7" t="str">
        <x:v>Atlas Supply</x:v>
      </x:c>
      <x:c r="C7" s="10" t="n">
        <x:v>730</x:v>
      </x:c>
      <x:c r="D7" t="str">
        <x:v>Approved</x:v>
      </x:c>
      <x:c r="E7" s="12" t="n">
        <x:v>46269</x:v>
      </x:c>
      <x:c r="F7" t="str">
        <x:f>IF(COUNTIF($A$5:$A$16,A7)&gt;1,"Duplicate ID",IF(C7&gt;10000,"High value",IF(D7&lt;&gt;"Approved","Approval issue","Clear")))</x:f>
        <x:v>Clear</x:v>
      </x:c>
      <x:c r="G7" t="str">
        <x:f>IF(F7="Duplicate ID","Check invoice and payment support",IF(F7="High value","Inspect authorization and invoice",IF(F7="Approval issue","Obtain evidence of approval","No exception under selected tests")))</x:f>
        <x:v>No exception under selected tests</x:v>
      </x:c>
    </x:row>
    <x:row r="8" ht="22" customHeight="1">
      <x:c r="A8" t="str">
        <x:v>INV-1004</x:v>
      </x:c>
      <x:c r="B8" t="str">
        <x:v>Bright Media</x:v>
      </x:c>
      <x:c r="C8" s="10" t="n">
        <x:v>12750</x:v>
      </x:c>
      <x:c r="D8" t="str">
        <x:v>Approved</x:v>
      </x:c>
      <x:c r="E8" s="12" t="n">
        <x:v>46270</x:v>
      </x:c>
      <x:c r="F8" t="str">
        <x:f>IF(COUNTIF($A$5:$A$16,A8)&gt;1,"Duplicate ID",IF(C8&gt;10000,"High value",IF(D8&lt;&gt;"Approved","Approval issue","Clear")))</x:f>
        <x:v>High value</x:v>
      </x:c>
      <x:c r="G8" t="str">
        <x:f>IF(F8="Duplicate ID","Check invoice and payment support",IF(F8="High value","Inspect authorization and invoice",IF(F8="Approval issue","Obtain evidence of approval","No exception under selected tests")))</x:f>
        <x:v>Inspect authorization and invoice</x:v>
      </x:c>
    </x:row>
    <x:row r="9" ht="22" customHeight="1">
      <x:c r="A9" t="str">
        <x:v>INV-1005</x:v>
      </x:c>
      <x:c r="B9" t="str">
        <x:v>Metro Tech</x:v>
      </x:c>
      <x:c r="C9" s="10" t="n">
        <x:v>4820</x:v>
      </x:c>
      <x:c r="D9" t="str">
        <x:v>Approved</x:v>
      </x:c>
      <x:c r="E9" s="12" t="n">
        <x:v>46271</x:v>
      </x:c>
      <x:c r="F9" t="str">
        <x:f>IF(COUNTIF($A$5:$A$16,A9)&gt;1,"Duplicate ID",IF(C9&gt;10000,"High value",IF(D9&lt;&gt;"Approved","Approval issue","Clear")))</x:f>
        <x:v>Clear</x:v>
      </x:c>
      <x:c r="G9" t="str">
        <x:f>IF(F9="Duplicate ID","Check invoice and payment support",IF(F9="High value","Inspect authorization and invoice",IF(F9="Approval issue","Obtain evidence of approval","No exception under selected tests")))</x:f>
        <x:v>No exception under selected tests</x:v>
      </x:c>
    </x:row>
    <x:row r="10" ht="22" customHeight="1">
      <x:c r="A10" t="str">
        <x:v>INV-1002</x:v>
      </x:c>
      <x:c r="B10" t="str">
        <x:v>Metro Tech</x:v>
      </x:c>
      <x:c r="C10" s="10" t="n">
        <x:v>4820</x:v>
      </x:c>
      <x:c r="D10" t="str">
        <x:v>Approved</x:v>
      </x:c>
      <x:c r="E10" s="12" t="n">
        <x:v>46272</x:v>
      </x:c>
      <x:c r="F10" t="str">
        <x:f>IF(COUNTIF($A$5:$A$16,A10)&gt;1,"Duplicate ID",IF(C10&gt;10000,"High value",IF(D10&lt;&gt;"Approved","Approval issue","Clear")))</x:f>
        <x:v>Duplicate ID</x:v>
      </x:c>
      <x:c r="G10" t="str">
        <x:f>IF(F10="Duplicate ID","Check invoice and payment support",IF(F10="High value","Inspect authorization and invoice",IF(F10="Approval issue","Obtain evidence of approval","No exception under selected tests")))</x:f>
        <x:v>Check invoice and payment support</x:v>
      </x:c>
    </x:row>
    <x:row r="11" ht="22" customHeight="1">
      <x:c r="A11" t="str">
        <x:v>INV-1007</x:v>
      </x:c>
      <x:c r="B11" t="str">
        <x:v>City Logistics</x:v>
      </x:c>
      <x:c r="C11" s="10" t="n">
        <x:v>920</x:v>
      </x:c>
      <x:c r="D11" t="str">
        <x:v>Pending</x:v>
      </x:c>
      <x:c r="E11" s="12" t="n">
        <x:v>46273</x:v>
      </x:c>
      <x:c r="F11" t="str">
        <x:f>IF(COUNTIF($A$5:$A$16,A11)&gt;1,"Duplicate ID",IF(C11&gt;10000,"High value",IF(D11&lt;&gt;"Approved","Approval issue","Clear")))</x:f>
        <x:v>Approval issue</x:v>
      </x:c>
      <x:c r="G11" t="str">
        <x:f>IF(F11="Duplicate ID","Check invoice and payment support",IF(F11="High value","Inspect authorization and invoice",IF(F11="Approval issue","Obtain evidence of approval","No exception under selected tests")))</x:f>
        <x:v>Obtain evidence of approval</x:v>
      </x:c>
    </x:row>
    <x:row r="12" ht="22" customHeight="1">
      <x:c r="A12" t="str">
        <x:v>INV-1008</x:v>
      </x:c>
      <x:c r="B12" t="str">
        <x:v>Bright Media</x:v>
      </x:c>
      <x:c r="C12" s="10" t="n">
        <x:v>19800</x:v>
      </x:c>
      <x:c r="D12" t="str">
        <x:v>Approved</x:v>
      </x:c>
      <x:c r="E12" s="12" t="n">
        <x:v>46274</x:v>
      </x:c>
      <x:c r="F12" t="str">
        <x:f>IF(COUNTIF($A$5:$A$16,A12)&gt;1,"Duplicate ID",IF(C12&gt;10000,"High value",IF(D12&lt;&gt;"Approved","Approval issue","Clear")))</x:f>
        <x:v>High value</x:v>
      </x:c>
      <x:c r="G12" t="str">
        <x:f>IF(F12="Duplicate ID","Check invoice and payment support",IF(F12="High value","Inspect authorization and invoice",IF(F12="Approval issue","Obtain evidence of approval","No exception under selected tests")))</x:f>
        <x:v>Inspect authorization and invoice</x:v>
      </x:c>
    </x:row>
    <x:row r="13" ht="22" customHeight="1">
      <x:c r="A13" t="str">
        <x:v>INV-1009</x:v>
      </x:c>
      <x:c r="B13" t="str">
        <x:v>Atlas Supply</x:v>
      </x:c>
      <x:c r="C13" s="10" t="n">
        <x:v>410</x:v>
      </x:c>
      <x:c r="D13" t="str">
        <x:v>Approved</x:v>
      </x:c>
      <x:c r="E13" s="12" t="n">
        <x:v>46275</x:v>
      </x:c>
      <x:c r="F13" t="str">
        <x:f>IF(COUNTIF($A$5:$A$16,A13)&gt;1,"Duplicate ID",IF(C13&gt;10000,"High value",IF(D13&lt;&gt;"Approved","Approval issue","Clear")))</x:f>
        <x:v>Clear</x:v>
      </x:c>
      <x:c r="G13" t="str">
        <x:f>IF(F13="Duplicate ID","Check invoice and payment support",IF(F13="High value","Inspect authorization and invoice",IF(F13="Approval issue","Obtain evidence of approval","No exception under selected tests")))</x:f>
        <x:v>No exception under selected tests</x:v>
      </x:c>
    </x:row>
    <x:row r="14" ht="22" customHeight="1">
      <x:c r="A14" t="str">
        <x:v>INV-1010</x:v>
      </x:c>
      <x:c r="B14" t="str">
        <x:v>City Logistics</x:v>
      </x:c>
      <x:c r="C14" s="10" t="n">
        <x:v>1650</x:v>
      </x:c>
      <x:c r="D14" t="str">
        <x:v>Missing</x:v>
      </x:c>
      <x:c r="E14" s="12" t="n">
        <x:v>46276</x:v>
      </x:c>
      <x:c r="F14" t="str">
        <x:f>IF(COUNTIF($A$5:$A$16,A14)&gt;1,"Duplicate ID",IF(C14&gt;10000,"High value",IF(D14&lt;&gt;"Approved","Approval issue","Clear")))</x:f>
        <x:v>Approval issue</x:v>
      </x:c>
      <x:c r="G14" t="str">
        <x:f>IF(F14="Duplicate ID","Check invoice and payment support",IF(F14="High value","Inspect authorization and invoice",IF(F14="Approval issue","Obtain evidence of approval","No exception under selected tests")))</x:f>
        <x:v>Obtain evidence of approval</x:v>
      </x:c>
    </x:row>
    <x:row r="15" ht="22" customHeight="1">
      <x:c r="A15" t="str">
        <x:v>INV-1011</x:v>
      </x:c>
      <x:c r="B15" t="str">
        <x:v>Metro Tech</x:v>
      </x:c>
      <x:c r="C15" s="10" t="n">
        <x:v>2400</x:v>
      </x:c>
      <x:c r="D15" t="str">
        <x:v>Approved</x:v>
      </x:c>
      <x:c r="E15" s="12" t="n">
        <x:v>46277</x:v>
      </x:c>
      <x:c r="F15" t="str">
        <x:f>IF(COUNTIF($A$5:$A$16,A15)&gt;1,"Duplicate ID",IF(C15&gt;10000,"High value",IF(D15&lt;&gt;"Approved","Approval issue","Clear")))</x:f>
        <x:v>Clear</x:v>
      </x:c>
      <x:c r="G15" t="str">
        <x:f>IF(F15="Duplicate ID","Check invoice and payment support",IF(F15="High value","Inspect authorization and invoice",IF(F15="Approval issue","Obtain evidence of approval","No exception under selected tests")))</x:f>
        <x:v>No exception under selected tests</x:v>
      </x:c>
    </x:row>
    <x:row r="16" ht="22" customHeight="1">
      <x:c r="A16" t="str">
        <x:v>INV-1012</x:v>
      </x:c>
      <x:c r="B16" t="str">
        <x:v>Atlas Supply</x:v>
      </x:c>
      <x:c r="C16" s="10" t="n">
        <x:v>1250</x:v>
      </x:c>
      <x:c r="D16" t="str">
        <x:v>Approved</x:v>
      </x:c>
      <x:c r="E16" s="12" t="n">
        <x:v>46278</x:v>
      </x:c>
      <x:c r="F16" t="str">
        <x:f>IF(COUNTIF($A$5:$A$16,A16)&gt;1,"Duplicate ID",IF(C16&gt;10000,"High value",IF(D16&lt;&gt;"Approved","Approval issue","Clear")))</x:f>
        <x:v>Clear</x:v>
      </x:c>
      <x:c r="G16" t="str">
        <x:f>IF(F16="Duplicate ID","Check invoice and payment support",IF(F16="High value","Inspect authorization and invoice",IF(F16="Approval issue","Obtain evidence of approval","No exception under selected tests")))</x:f>
        <x:v>No exception under selected tests</x:v>
      </x:c>
    </x:row>
    <x:row r="17" ht="22" customHeight="1"/>
    <x:row r="18" ht="22" customHeight="1"/>
    <x:row r="19" ht="22" customHeight="1"/>
    <x:row r="20" ht="22" customHeight="1"/>
    <x:row r="21" ht="22" customHeight="1"/>
    <x:row r="22" ht="22" customHeight="1"/>
    <x:row r="23" ht="22" customHeight="1"/>
    <x:row r="24" ht="22" customHeight="1"/>
    <x:row r="25" ht="22" customHeight="1"/>
    <x:row r="26" ht="22" customHeight="1"/>
    <x:row r="27" ht="22" customHeight="1"/>
    <x:row r="28" ht="22" customHeight="1"/>
  </x:sheetData>
  <x:mergeCells>
    <x:mergeCell ref="A1:G1"/>
    <x:mergeCell ref="A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22" customHeight="1">
      <x:c r="A1" s="3" t="str">
        <x:v>AUDIT REVIEW SUMMARY</x:v>
      </x:c>
      <x:c r="B1" s="3"/>
      <x:c r="C1" s="3"/>
      <x:c r="D1" s="3"/>
      <x:c r="E1" s="3"/>
      <x:c r="F1" s="3"/>
    </x:row>
    <x:row r="2" ht="22" customHeight="1">
      <x:c r="A2" s="6" t="str">
        <x:v>Rule-based screening; flags are not proof of error or fraud</x:v>
      </x:c>
      <x:c r="B2" s="6"/>
      <x:c r="C2" s="6"/>
      <x:c r="D2" s="6"/>
      <x:c r="E2" s="6"/>
      <x:c r="F2" s="6"/>
    </x:row>
    <x:row r="3" ht="22" customHeight="1"/>
    <x:row r="4" ht="25" customHeight="1">
      <x:c r="A4" s="8" t="str">
        <x:v>Metric</x:v>
      </x:c>
      <x:c r="B4" s="8" t="str">
        <x:v>Result</x:v>
      </x:c>
    </x:row>
    <x:row r="5" ht="22" customHeight="1">
      <x:c r="A5" t="str">
        <x:v>Transactions tested</x:v>
      </x:c>
      <x:c r="B5" t="n">
        <x:f>COUNTA('Transaction Testing'!A5:A16)</x:f>
        <x:v>12</x:v>
      </x:c>
    </x:row>
    <x:row r="6" ht="22" customHeight="1">
      <x:c r="A6" t="str">
        <x:v>Total amount</x:v>
      </x:c>
      <x:c r="B6" s="10" t="n">
        <x:f>SUM('Transaction Testing'!C5:C16)</x:f>
        <x:v>55620</x:v>
      </x:c>
    </x:row>
    <x:row r="7" ht="22" customHeight="1">
      <x:c r="A7" t="str">
        <x:v>Duplicate invoice ID rows</x:v>
      </x:c>
      <x:c r="B7" t="n">
        <x:f>COUNTIF('Transaction Testing'!F5:F16,"Duplicate ID")</x:f>
        <x:v>2</x:v>
      </x:c>
    </x:row>
    <x:row r="8" ht="22" customHeight="1">
      <x:c r="A8" t="str">
        <x:v>High-value rows</x:v>
      </x:c>
      <x:c r="B8" t="n">
        <x:f>COUNTIF('Transaction Testing'!F5:F16,"High value")</x:f>
        <x:v>2</x:v>
      </x:c>
    </x:row>
    <x:row r="9" ht="22" customHeight="1">
      <x:c r="A9" t="str">
        <x:v>Approval issue rows</x:v>
      </x:c>
      <x:c r="B9" t="n">
        <x:f>COUNTIF('Transaction Testing'!F5:F16,"Approval issue")</x:f>
        <x:v>2</x:v>
      </x:c>
    </x:row>
    <x:row r="10" ht="22" customHeight="1">
      <x:c r="A10" t="str">
        <x:v>Total flagged rows</x:v>
      </x:c>
      <x:c r="B10" t="n">
        <x:f>B7+B8+B9</x:f>
        <x:v>6</x:v>
      </x:c>
    </x:row>
    <x:row r="11" ht="22" customHeight="1"/>
    <x:row r="12" ht="22" customHeight="1"/>
    <x:row r="13" ht="25" customHeight="1">
      <x:c r="A13" s="8" t="str">
        <x:v>Test design &amp; limitations</x:v>
      </x:c>
      <x:c r="B13" s="8"/>
      <x:c r="C13" s="8"/>
      <x:c r="D13" s="8"/>
      <x:c r="E13" s="8"/>
      <x:c r="F13" s="8"/>
    </x:row>
    <x:row r="14" ht="22" customHeight="1">
      <x:c r="A14" t="str">
        <x:v>Duplicate ID: any invoice number appearing more than once is flagged.</x:v>
      </x:c>
    </x:row>
    <x:row r="15" ht="22" customHeight="1">
      <x:c r="A15" t="str">
        <x:v>High value: transactions above $10,000 are flagged.</x:v>
      </x:c>
    </x:row>
    <x:row r="16" ht="22" customHeight="1">
      <x:c r="A16" t="str">
        <x:v>Approval issue: approval status is not Approved.</x:v>
      </x:c>
    </x:row>
    <x:row r="17" ht="22" customHeight="1">
      <x:c r="A17" t="str">
        <x:v>Priority rule: duplicate ID, then high value, then approval issue.</x:v>
      </x:c>
    </x:row>
    <x:row r="18" ht="22" customHeight="1">
      <x:c r="A18" t="str">
        <x:v>Follow-up: inspect original invoices, authorization, and payment records.</x:v>
      </x:c>
    </x:row>
    <x:row r="19" ht="22" customHeight="1">
      <x:c r="A19" t="str">
        <x:v>This is a practice screening, not an audit opinion; real evidence is required.</x:v>
      </x:c>
    </x:row>
    <x:row r="20" ht="22" customHeight="1"/>
    <x:row r="21" ht="22" customHeight="1"/>
    <x:row r="22" ht="22" customHeight="1"/>
    <x:row r="23" ht="22" customHeight="1"/>
    <x:row r="24" ht="22" customHeight="1"/>
    <x:row r="25" ht="22" customHeight="1"/>
    <x:row r="26" ht="22" customHeight="1"/>
    <x:row r="27" ht="22" customHeight="1"/>
    <x:row r="28" ht="22" customHeight="1"/>
  </x:sheetData>
  <x:mergeCells>
    <x:mergeCell ref="A1:F1"/>
    <x:mergeCell ref="A2:F2"/>
    <x:mergeCell ref="A14:F14"/>
    <x:mergeCell ref="A15:F15"/>
    <x:mergeCell ref="A16:F16"/>
    <x:mergeCell ref="A17:F17"/>
    <x:mergeCell ref="A18:F18"/>
    <x:mergeCell ref="A19:F19"/>
  </x:mergeCells>
  <x:pageMargins left="0.7" right="0.7" top="0.75" bottom="0.75" header="0.3" footer="0.3"/>
</x:worksheet>
</file>