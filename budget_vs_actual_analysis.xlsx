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da9792282b45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dget Analysis" sheetId="1" r:id="R1cff477564b64e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;[Red]($#,##0)"/>
    <x:numFmt numFmtId="201" formatCode="0.0%;[Red](0.0%)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2B4D"/>
      </x:patternFill>
    </x:fill>
    <x:fill>
      <x:patternFill patternType="solid">
        <x:fgColor rgb="FFE8F0FA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200" fontId="0" fillId="0" borderId="0" xfId="0" applyNumberFormat="1" applyFont="1" applyFill="1" applyBorder="1"/>
    <x:xf numFmtId="200" fontId="3" fillId="3" borderId="0" xfId="0" applyNumberFormat="1" applyFont="1" applyFill="1" applyBorder="1"/>
    <x:xf numFmtId="200" fontId="0" fillId="0" borderId="1" xfId="0" applyNumberFormat="1" applyFont="1" applyFill="1" applyBorder="1"/>
    <x:xf numFmtId="200" fontId="3" fillId="3" borderId="1" xfId="0" applyNumberFormat="1" applyFont="1" applyFill="1" applyBorder="1"/>
    <x:xf numFmtId="201" fontId="0" fillId="0" borderId="0" xfId="0" applyNumberFormat="1" applyFont="1" applyFill="1" applyBorder="1"/>
    <x:xf numFmtId="201" fontId="3" fillId="3" borderId="0" xfId="0" applyNumberFormat="1" applyFont="1" applyFill="1" applyBorder="1"/>
    <x:xf numFmtId="201" fontId="0" fillId="0" borderId="1" xfId="0" applyNumberFormat="1" applyFont="1" applyFill="1" applyBorder="1"/>
    <x:xf numFmtId="201" fontId="3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1ab234be194168" /><Relationship Type="http://schemas.openxmlformats.org/officeDocument/2006/relationships/theme" Target="/xl/theme/theme1.xml" Id="R66f392794cbf4c61" /><Relationship Type="http://schemas.openxmlformats.org/officeDocument/2006/relationships/sharedStrings" Target="/xl/sharedStrings.xml" Id="Rd6c5779040904804" /><Relationship Type="http://schemas.openxmlformats.org/officeDocument/2006/relationships/worksheet" Target="/xl/worksheets/sheet1.xml" Id="R1cff477564b64e1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fe3f33f0e654dc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Budget vs. actual expenses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Budget ($)</c:v>
          </c:tx>
          <c:cat>
            <c:strRef>
              <c:f>'Budget Analysis'!$A$5:$A$11</c:f>
              <c:strCache>
                <c:ptCount val="0"/>
              </c:strCache>
            </c:strRef>
          </c:cat>
          <c:val>
            <c:numRef>
              <c:f>'Budget Analysis'!$B$5:$B$11</c:f>
              <c:numCache>
                <c:formatCode>$#,##0;[Red]($#,##0)</c:formatCode>
                <c:ptCount val="0"/>
              </c:numCache>
            </c:numRef>
          </c:val>
        </c:ser>
        <c:ser>
          <c:idx val="1"/>
          <c:order val="1"/>
          <c:tx>
            <c:v>Actual ($)</c:v>
          </c:tx>
          <c:cat>
            <c:strRef>
              <c:f>'Budget Analysis'!$A$5:$A$11</c:f>
              <c:strCache>
                <c:ptCount val="0"/>
              </c:strCache>
            </c:strRef>
          </c:cat>
          <c:val>
            <c:numRef>
              <c:f>'Budget Analysis'!$C$5:$C$11</c:f>
              <c:numCache>
                <c:formatCode>$#,##0;[Red]($#,##0)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fe3f33f0e654dc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b1ab6993e5b4115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22" customHeight="1">
      <x:c r="A1" s="3" t="str">
        <x:v>BUDGET VS. ACTUAL | NORTHSTAR CO.</x:v>
      </x:c>
      <x:c r="B1" s="3"/>
      <x:c r="C1" s="3"/>
      <x:c r="D1" s="3"/>
      <x:c r="E1" s="3"/>
      <x:c r="F1" s="3"/>
    </x:row>
    <x:row r="2" ht="22" customHeight="1">
      <x:c r="A2" s="6" t="str">
        <x:v>Independent practice project • fictional quarterly operating expenses</x:v>
      </x:c>
      <x:c r="B2" s="6"/>
      <x:c r="C2" s="6"/>
      <x:c r="D2" s="6"/>
      <x:c r="E2" s="6"/>
      <x:c r="F2" s="6"/>
    </x:row>
    <x:row r="3" ht="22" customHeight="1"/>
    <x:row r="4" ht="25" customHeight="1">
      <x:c r="A4" s="8" t="str">
        <x:v>Expense category</x:v>
      </x:c>
      <x:c r="B4" s="8" t="str">
        <x:v>Budget ($)</x:v>
      </x:c>
      <x:c r="C4" s="8" t="str">
        <x:v>Actual ($)</x:v>
      </x:c>
      <x:c r="D4" s="8" t="str">
        <x:v>Variance ($)</x:v>
      </x:c>
      <x:c r="E4" s="8" t="str">
        <x:v>Variance (%)</x:v>
      </x:c>
      <x:c r="F4" s="8" t="str">
        <x:v>Assessment</x:v>
      </x:c>
    </x:row>
    <x:row r="5" ht="22" customHeight="1">
      <x:c r="A5" t="str">
        <x:v>Payroll</x:v>
      </x:c>
      <x:c r="B5" s="12" t="n">
        <x:v>85000</x:v>
      </x:c>
      <x:c r="C5" s="12" t="n">
        <x:v>88400</x:v>
      </x:c>
      <x:c r="D5" s="12" t="n">
        <x:f>C5-B5</x:f>
        <x:v>3400</x:v>
      </x:c>
      <x:c r="E5" s="16" t="n">
        <x:f>IF(B5=0,0,D5/B5)</x:f>
        <x:v>0.04</x:v>
      </x:c>
      <x:c r="F5" t="str">
        <x:f>IF(D5&gt;0,"Unfavorable",IF(D5&lt;0,"Favorable","On budget"))</x:f>
        <x:v>Unfavorable</x:v>
      </x:c>
    </x:row>
    <x:row r="6" ht="22" customHeight="1">
      <x:c r="A6" t="str">
        <x:v>Rent</x:v>
      </x:c>
      <x:c r="B6" s="12" t="n">
        <x:v>24000</x:v>
      </x:c>
      <x:c r="C6" s="12" t="n">
        <x:v>24000</x:v>
      </x:c>
      <x:c r="D6" s="12" t="n">
        <x:f>C6-B6</x:f>
        <x:v>0</x:v>
      </x:c>
      <x:c r="E6" s="16" t="n">
        <x:f>IF(B6=0,0,D6/B6)</x:f>
        <x:v>0</x:v>
      </x:c>
      <x:c r="F6" t="str">
        <x:f>IF(D6&gt;0,"Unfavorable",IF(D6&lt;0,"Favorable","On budget"))</x:f>
        <x:v>On budget</x:v>
      </x:c>
    </x:row>
    <x:row r="7" ht="22" customHeight="1">
      <x:c r="A7" t="str">
        <x:v>Marketing</x:v>
      </x:c>
      <x:c r="B7" s="12" t="n">
        <x:v>18000</x:v>
      </x:c>
      <x:c r="C7" s="12" t="n">
        <x:v>22500</x:v>
      </x:c>
      <x:c r="D7" s="12" t="n">
        <x:f>C7-B7</x:f>
        <x:v>4500</x:v>
      </x:c>
      <x:c r="E7" s="16" t="n">
        <x:f>IF(B7=0,0,D7/B7)</x:f>
        <x:v>0.25</x:v>
      </x:c>
      <x:c r="F7" t="str">
        <x:f>IF(D7&gt;0,"Unfavorable",IF(D7&lt;0,"Favorable","On budget"))</x:f>
        <x:v>Unfavorable</x:v>
      </x:c>
    </x:row>
    <x:row r="8" ht="22" customHeight="1">
      <x:c r="A8" t="str">
        <x:v>Utilities</x:v>
      </x:c>
      <x:c r="B8" s="12" t="n">
        <x:v>9500</x:v>
      </x:c>
      <x:c r="C8" s="12" t="n">
        <x:v>8700</x:v>
      </x:c>
      <x:c r="D8" s="12" t="n">
        <x:f>C8-B8</x:f>
        <x:v>-800</x:v>
      </x:c>
      <x:c r="E8" s="16" t="n">
        <x:f>IF(B8=0,0,D8/B8)</x:f>
        <x:v>-0.08421052631578947</x:v>
      </x:c>
      <x:c r="F8" t="str">
        <x:f>IF(D8&gt;0,"Unfavorable",IF(D8&lt;0,"Favorable","On budget"))</x:f>
        <x:v>Favorable</x:v>
      </x:c>
    </x:row>
    <x:row r="9" ht="22" customHeight="1">
      <x:c r="A9" t="str">
        <x:v>Technology</x:v>
      </x:c>
      <x:c r="B9" s="12" t="n">
        <x:v>12500</x:v>
      </x:c>
      <x:c r="C9" s="12" t="n">
        <x:v>13900</x:v>
      </x:c>
      <x:c r="D9" s="12" t="n">
        <x:f>C9-B9</x:f>
        <x:v>1400</x:v>
      </x:c>
      <x:c r="E9" s="16" t="n">
        <x:f>IF(B9=0,0,D9/B9)</x:f>
        <x:v>0.112</x:v>
      </x:c>
      <x:c r="F9" t="str">
        <x:f>IF(D9&gt;0,"Unfavorable",IF(D9&lt;0,"Favorable","On budget"))</x:f>
        <x:v>Unfavorable</x:v>
      </x:c>
    </x:row>
    <x:row r="10" ht="22" customHeight="1">
      <x:c r="A10" t="str">
        <x:v>Supplies</x:v>
      </x:c>
      <x:c r="B10" s="12" t="n">
        <x:v>6500</x:v>
      </x:c>
      <x:c r="C10" s="12" t="n">
        <x:v>5900</x:v>
      </x:c>
      <x:c r="D10" s="12" t="n">
        <x:f>C10-B10</x:f>
        <x:v>-600</x:v>
      </x:c>
      <x:c r="E10" s="16" t="n">
        <x:f>IF(B10=0,0,D10/B10)</x:f>
        <x:v>-0.09230769230769231</x:v>
      </x:c>
      <x:c r="F10" t="str">
        <x:f>IF(D10&gt;0,"Unfavorable",IF(D10&lt;0,"Favorable","On budget"))</x:f>
        <x:v>Favorable</x:v>
      </x:c>
    </x:row>
    <x:row r="11" ht="22" customHeight="1">
      <x:c r="A11" t="str">
        <x:v>Travel</x:v>
      </x:c>
      <x:c r="B11" s="12" t="n">
        <x:v>8000</x:v>
      </x:c>
      <x:c r="C11" s="12" t="n">
        <x:v>10800</x:v>
      </x:c>
      <x:c r="D11" s="12" t="n">
        <x:f>C11-B11</x:f>
        <x:v>2800</x:v>
      </x:c>
      <x:c r="E11" s="16" t="n">
        <x:f>IF(B11=0,0,D11/B11)</x:f>
        <x:v>0.35</x:v>
      </x:c>
      <x:c r="F11" t="str">
        <x:f>IF(D11&gt;0,"Unfavorable",IF(D11&lt;0,"Favorable","On budget"))</x:f>
        <x:v>Unfavorable</x:v>
      </x:c>
    </x:row>
    <x:row r="12" ht="22" customHeight="1">
      <x:c r="A12" s="10" t="str">
        <x:v>TOTAL</x:v>
      </x:c>
      <x:c r="B12" s="13" t="n">
        <x:f>SUM(B5:B11)</x:f>
        <x:v>163500</x:v>
      </x:c>
      <x:c r="C12" s="13" t="n">
        <x:f>SUM(C5:C11)</x:f>
        <x:v>174200</x:v>
      </x:c>
      <x:c r="D12" s="13" t="n">
        <x:f>SUM(D5:D11)</x:f>
        <x:v>10700</x:v>
      </x:c>
      <x:c r="E12" s="17" t="n">
        <x:f>IF(B12=0,0,D12/B12)</x:f>
        <x:v>0.0654434250764526</x:v>
      </x:c>
      <x:c r="F12" s="10" t="str">
        <x:f>IF(D12&gt;0,"Unfavorable",IF(D12&lt;0,"Favorable","On budget"))</x:f>
        <x:v>Unfavorable</x:v>
      </x:c>
    </x:row>
    <x:row r="13" ht="22" customHeight="1"/>
    <x:row r="14" ht="22" customHeight="1"/>
    <x:row r="15" ht="25" customHeight="1">
      <x:c r="A15" s="8" t="str">
        <x:v>Key findings</x:v>
      </x:c>
      <x:c r="B15" s="8"/>
      <x:c r="C15" s="8"/>
      <x:c r="D15" s="8"/>
      <x:c r="E15" s="8"/>
      <x:c r="F15" s="8"/>
    </x:row>
    <x:row r="16" ht="22" customHeight="1">
      <x:c r="A16" t="str">
        <x:v>Marketing exceeded budget by $4,500 (25.0%).</x:v>
      </x:c>
    </x:row>
    <x:row r="17" ht="22" customHeight="1">
      <x:c r="A17" t="str">
        <x:v>Travel exceeded budget by $2,800 (35.0%).</x:v>
      </x:c>
    </x:row>
    <x:row r="18" ht="22" customHeight="1">
      <x:c r="A18" t="str">
        <x:v>Utilities and supplies came in below budget.</x:v>
      </x:c>
    </x:row>
    <x:row r="19" ht="22" customHeight="1">
      <x:c r="A19" t="str">
        <x:v>Positive expense variances are unfavorable; negative are favorable.</x:v>
      </x:c>
    </x:row>
    <x:row r="20" ht="22" customHeight="1">
      <x:c r="A20" t="str">
        <x:v>Recommendation: review marketing approvals and travel policies.</x:v>
      </x:c>
    </x:row>
    <x:row r="21" ht="22" customHeight="1"/>
    <x:row r="22" ht="22" customHeight="1"/>
    <x:row r="23" ht="22" customHeight="1">
      <x:c r="A23" t="str">
        <x:v>Method: Variance = Actual - Budget; Variance % = Variance / Budget.</x:v>
      </x:c>
    </x:row>
    <x:row r="24" ht="22" customHeight="1"/>
    <x:row r="25" ht="22" customHeight="1"/>
    <x:row r="26" ht="22" customHeight="1"/>
    <x:row r="27" ht="22" customHeight="1"/>
    <x:row r="28" ht="22" customHeight="1"/>
  </x:sheetData>
  <x:mergeCells>
    <x:mergeCell ref="A1:F1"/>
    <x:mergeCell ref="A2:F2"/>
    <x:mergeCell ref="A16:F16"/>
    <x:mergeCell ref="A17:F17"/>
    <x:mergeCell ref="A18:F18"/>
    <x:mergeCell ref="A19:F19"/>
    <x:mergeCell ref="A20:F20"/>
    <x:mergeCell ref="A23:F23"/>
  </x:mergeCells>
  <x:pageMargins left="0.7" right="0.7" top="0.75" bottom="0.75" header="0.3" footer="0.3"/>
  <x:drawing xmlns:r="http://schemas.openxmlformats.org/officeDocument/2006/relationships" r:id="Rfb1ab6993e5b4115"/>
</x:worksheet>
</file>